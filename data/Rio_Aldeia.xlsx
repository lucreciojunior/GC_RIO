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A527494D-E89D-4736-9E81-6B4E3B07A0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LTO RIO ALDE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24" i="1"/>
  <c r="J3" i="1"/>
  <c r="I3" i="1"/>
  <c r="H3" i="1"/>
  <c r="L3" i="1" s="1"/>
  <c r="J24" i="1"/>
  <c r="G45" i="1"/>
  <c r="J45" i="1"/>
  <c r="I45" i="1"/>
  <c r="H45" i="1"/>
  <c r="L45" i="1" s="1"/>
  <c r="I24" i="1"/>
  <c r="H24" i="1"/>
  <c r="L24" i="1" s="1"/>
</calcChain>
</file>

<file path=xl/sharedStrings.xml><?xml version="1.0" encoding="utf-8"?>
<sst xmlns="http://schemas.openxmlformats.org/spreadsheetml/2006/main" count="208" uniqueCount="36">
  <si>
    <t>RELATÓRIO DE CULTO - RIO</t>
  </si>
  <si>
    <t>Igreja RIO</t>
  </si>
  <si>
    <t>DATA</t>
  </si>
  <si>
    <t>HORÁRIO</t>
  </si>
  <si>
    <t>RESPONSAVEL</t>
  </si>
  <si>
    <t>MINISTERIOS</t>
  </si>
  <si>
    <t>CONTAGEM</t>
  </si>
  <si>
    <t>TOTAL VISITANTE</t>
  </si>
  <si>
    <t>TOTAL CRIANÇAS</t>
  </si>
  <si>
    <t>TOTAL NAUTA</t>
  </si>
  <si>
    <t>TOTAL SERVOS</t>
  </si>
  <si>
    <t>TOTAL TEMPLO</t>
  </si>
  <si>
    <t>TOTAL GERAL</t>
  </si>
  <si>
    <t>ALDEIA</t>
  </si>
  <si>
    <t>Arthur e Victor</t>
  </si>
  <si>
    <t>INTEGRAÇÃO SERVOS</t>
  </si>
  <si>
    <t>INTEGRAÇÃO VISITANTES</t>
  </si>
  <si>
    <t>INTERCESSÃO</t>
  </si>
  <si>
    <t>GESTÃO DE CULTO</t>
  </si>
  <si>
    <t>COMUNICAÇÃO</t>
  </si>
  <si>
    <t>MIDIA SERVOS</t>
  </si>
  <si>
    <t>MIDIA ONLINE</t>
  </si>
  <si>
    <t>RIO BAND</t>
  </si>
  <si>
    <t>CAFÉ RIO</t>
  </si>
  <si>
    <t>RIO STORE</t>
  </si>
  <si>
    <t>GERAÇÃO RIO SERVOS</t>
  </si>
  <si>
    <t>GERAÇÃO RIO CRIANÇAS</t>
  </si>
  <si>
    <t>NAUTA SERVOS</t>
  </si>
  <si>
    <t>NAUTA CRIANÇAS</t>
  </si>
  <si>
    <t>BERÇARIO ADULTO</t>
  </si>
  <si>
    <t>BERÇARIO CRIANÇAS</t>
  </si>
  <si>
    <t>RIO PARKING SERVOS</t>
  </si>
  <si>
    <t>RIO PARKING CARROS</t>
  </si>
  <si>
    <t>RIO PARKING MOTOS</t>
  </si>
  <si>
    <t>Ewerton/Valderes</t>
  </si>
  <si>
    <t>Ewerton/Victor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</si>
</sst>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11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L3" sqref="L3"/>
    </sheetView>
  </sheetViews>
  <sheetFormatPr defaultRowHeight="15"/>
  <cols>
    <col min="1" max="1" width="14.7109375" customWidth="1"/>
    <col min="2" max="2" width="11.42578125" bestFit="1" customWidth="1"/>
    <col min="4" max="4" width="18.42578125" customWidth="1"/>
    <col min="5" max="5" width="26.5703125" customWidth="1"/>
    <col min="6" max="6" width="15" customWidth="1"/>
    <col min="7" max="7" width="15.5703125" customWidth="1"/>
    <col min="8" max="8" width="16" bestFit="1" customWidth="1"/>
    <col min="9" max="9" width="14.85546875" customWidth="1"/>
    <col min="10" max="10" width="13.5703125" customWidth="1"/>
    <col min="11" max="11" width="14.85546875" customWidth="1"/>
    <col min="12" max="12" width="13.140625" customWidth="1"/>
  </cols>
  <sheetData>
    <row r="1" spans="1:1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13</v>
      </c>
      <c r="B3" s="2">
        <v>46236</v>
      </c>
      <c r="C3" s="3">
        <v>0.75</v>
      </c>
      <c r="D3" s="1" t="s">
        <v>14</v>
      </c>
      <c r="E3" s="1" t="s">
        <v>15</v>
      </c>
      <c r="F3" s="4">
        <v>6</v>
      </c>
      <c r="G3" s="5">
        <f>(F4)</f>
        <v>4</v>
      </c>
      <c r="H3" s="5">
        <f>SUM(F14,F18)</f>
        <v>32</v>
      </c>
      <c r="I3" s="5">
        <f>(F16)</f>
        <v>16</v>
      </c>
      <c r="J3" s="5">
        <f>SUM(F3,F5,F6,F7,F8,F10,F11,F12,F13,F15,F19)</f>
        <v>41</v>
      </c>
      <c r="K3" s="5">
        <v>258</v>
      </c>
      <c r="L3" s="5">
        <f>SUM(G3:K3)</f>
        <v>351</v>
      </c>
    </row>
    <row r="4" spans="1:12">
      <c r="A4" s="1" t="s">
        <v>13</v>
      </c>
      <c r="B4" s="2">
        <v>46236</v>
      </c>
      <c r="C4" s="3">
        <v>0.75</v>
      </c>
      <c r="D4" s="1" t="s">
        <v>14</v>
      </c>
      <c r="E4" s="1" t="s">
        <v>16</v>
      </c>
      <c r="F4" s="4">
        <v>4</v>
      </c>
      <c r="G4" s="6"/>
      <c r="H4" s="7"/>
      <c r="I4" s="7"/>
      <c r="J4" s="7"/>
      <c r="K4" s="7"/>
      <c r="L4" s="8"/>
    </row>
    <row r="5" spans="1:12">
      <c r="A5" s="1" t="s">
        <v>13</v>
      </c>
      <c r="B5" s="2">
        <v>46236</v>
      </c>
      <c r="C5" s="3">
        <v>0.75</v>
      </c>
      <c r="D5" s="1" t="s">
        <v>14</v>
      </c>
      <c r="E5" s="1" t="s">
        <v>17</v>
      </c>
      <c r="F5" s="4">
        <v>4</v>
      </c>
      <c r="G5" s="9"/>
      <c r="H5" s="10"/>
      <c r="I5" s="10"/>
      <c r="J5" s="10"/>
      <c r="K5" s="10"/>
      <c r="L5" s="11"/>
    </row>
    <row r="6" spans="1:12">
      <c r="A6" s="1" t="s">
        <v>13</v>
      </c>
      <c r="B6" s="2">
        <v>46236</v>
      </c>
      <c r="C6" s="3">
        <v>0.75</v>
      </c>
      <c r="D6" s="1" t="s">
        <v>14</v>
      </c>
      <c r="E6" s="1" t="s">
        <v>18</v>
      </c>
      <c r="F6" s="4">
        <v>2</v>
      </c>
      <c r="G6" s="9"/>
      <c r="H6" s="10"/>
      <c r="I6" s="10"/>
      <c r="J6" s="10"/>
      <c r="K6" s="10"/>
      <c r="L6" s="11"/>
    </row>
    <row r="7" spans="1:12">
      <c r="A7" s="1" t="s">
        <v>13</v>
      </c>
      <c r="B7" s="2">
        <v>46236</v>
      </c>
      <c r="C7" s="3">
        <v>0.75</v>
      </c>
      <c r="D7" s="1" t="s">
        <v>14</v>
      </c>
      <c r="E7" s="1" t="s">
        <v>19</v>
      </c>
      <c r="F7" s="4">
        <v>1</v>
      </c>
      <c r="G7" s="9"/>
      <c r="H7" s="10"/>
      <c r="I7" s="10"/>
      <c r="J7" s="10"/>
      <c r="K7" s="10"/>
      <c r="L7" s="11"/>
    </row>
    <row r="8" spans="1:12">
      <c r="A8" s="1" t="s">
        <v>13</v>
      </c>
      <c r="B8" s="2">
        <v>46236</v>
      </c>
      <c r="C8" s="3">
        <v>0.75</v>
      </c>
      <c r="D8" s="1" t="s">
        <v>14</v>
      </c>
      <c r="E8" s="1" t="s">
        <v>20</v>
      </c>
      <c r="F8" s="4">
        <v>4</v>
      </c>
      <c r="G8" s="9"/>
      <c r="H8" s="10"/>
      <c r="I8" s="10"/>
      <c r="J8" s="10"/>
      <c r="K8" s="10"/>
      <c r="L8" s="11"/>
    </row>
    <row r="9" spans="1:12">
      <c r="A9" s="1" t="s">
        <v>13</v>
      </c>
      <c r="B9" s="2">
        <v>46236</v>
      </c>
      <c r="C9" s="3">
        <v>0.75</v>
      </c>
      <c r="D9" s="1" t="s">
        <v>14</v>
      </c>
      <c r="E9" s="1" t="s">
        <v>21</v>
      </c>
      <c r="F9" s="4">
        <v>0</v>
      </c>
      <c r="G9" s="9"/>
      <c r="H9" s="10"/>
      <c r="I9" s="10"/>
      <c r="J9" s="10"/>
      <c r="K9" s="10"/>
      <c r="L9" s="11"/>
    </row>
    <row r="10" spans="1:12">
      <c r="A10" s="1" t="s">
        <v>13</v>
      </c>
      <c r="B10" s="2">
        <v>46236</v>
      </c>
      <c r="C10" s="3">
        <v>0.75</v>
      </c>
      <c r="D10" s="1" t="s">
        <v>14</v>
      </c>
      <c r="E10" s="1" t="s">
        <v>22</v>
      </c>
      <c r="F10" s="4">
        <v>9</v>
      </c>
      <c r="G10" s="9"/>
      <c r="H10" s="10"/>
      <c r="I10" s="10"/>
      <c r="J10" s="10"/>
      <c r="K10" s="10"/>
      <c r="L10" s="11"/>
    </row>
    <row r="11" spans="1:12">
      <c r="A11" s="1" t="s">
        <v>13</v>
      </c>
      <c r="B11" s="2">
        <v>46236</v>
      </c>
      <c r="C11" s="3">
        <v>0.75</v>
      </c>
      <c r="D11" s="1" t="s">
        <v>14</v>
      </c>
      <c r="E11" s="1" t="s">
        <v>23</v>
      </c>
      <c r="F11" s="4">
        <v>4</v>
      </c>
      <c r="G11" s="9"/>
      <c r="H11" s="10"/>
      <c r="I11" s="10"/>
      <c r="J11" s="10"/>
      <c r="K11" s="10"/>
      <c r="L11" s="11"/>
    </row>
    <row r="12" spans="1:12">
      <c r="A12" s="1" t="s">
        <v>13</v>
      </c>
      <c r="B12" s="2">
        <v>46236</v>
      </c>
      <c r="C12" s="3">
        <v>0.75</v>
      </c>
      <c r="D12" s="1" t="s">
        <v>14</v>
      </c>
      <c r="E12" s="1" t="s">
        <v>24</v>
      </c>
      <c r="F12" s="4">
        <v>1</v>
      </c>
      <c r="G12" s="9"/>
      <c r="H12" s="10"/>
      <c r="I12" s="10"/>
      <c r="J12" s="10"/>
      <c r="K12" s="10"/>
      <c r="L12" s="11"/>
    </row>
    <row r="13" spans="1:12">
      <c r="A13" s="1" t="s">
        <v>13</v>
      </c>
      <c r="B13" s="2">
        <v>46236</v>
      </c>
      <c r="C13" s="3">
        <v>0.75</v>
      </c>
      <c r="D13" s="1" t="s">
        <v>14</v>
      </c>
      <c r="E13" s="1" t="s">
        <v>25</v>
      </c>
      <c r="F13" s="4">
        <v>5</v>
      </c>
      <c r="G13" s="9"/>
      <c r="H13" s="10"/>
      <c r="I13" s="10"/>
      <c r="J13" s="10"/>
      <c r="K13" s="10"/>
      <c r="L13" s="11"/>
    </row>
    <row r="14" spans="1:12">
      <c r="A14" s="1" t="s">
        <v>13</v>
      </c>
      <c r="B14" s="2">
        <v>46236</v>
      </c>
      <c r="C14" s="3">
        <v>0.75</v>
      </c>
      <c r="D14" s="1" t="s">
        <v>14</v>
      </c>
      <c r="E14" s="1" t="s">
        <v>26</v>
      </c>
      <c r="F14" s="4">
        <v>28</v>
      </c>
      <c r="G14" s="9"/>
      <c r="H14" s="10"/>
      <c r="I14" s="10"/>
      <c r="J14" s="10"/>
      <c r="K14" s="10"/>
      <c r="L14" s="11"/>
    </row>
    <row r="15" spans="1:12">
      <c r="A15" s="1" t="s">
        <v>13</v>
      </c>
      <c r="B15" s="2">
        <v>46236</v>
      </c>
      <c r="C15" s="3">
        <v>0.75</v>
      </c>
      <c r="D15" s="1" t="s">
        <v>14</v>
      </c>
      <c r="E15" s="1" t="s">
        <v>27</v>
      </c>
      <c r="F15" s="4">
        <v>2</v>
      </c>
      <c r="G15" s="9"/>
      <c r="H15" s="10"/>
      <c r="I15" s="10"/>
      <c r="J15" s="10"/>
      <c r="K15" s="10"/>
      <c r="L15" s="11"/>
    </row>
    <row r="16" spans="1:12">
      <c r="A16" s="1" t="s">
        <v>13</v>
      </c>
      <c r="B16" s="2">
        <v>46236</v>
      </c>
      <c r="C16" s="3">
        <v>0.75</v>
      </c>
      <c r="D16" s="1" t="s">
        <v>14</v>
      </c>
      <c r="E16" s="1" t="s">
        <v>28</v>
      </c>
      <c r="F16" s="4">
        <v>16</v>
      </c>
      <c r="G16" s="9"/>
      <c r="H16" s="10"/>
      <c r="I16" s="10"/>
      <c r="J16" s="10"/>
      <c r="K16" s="10"/>
      <c r="L16" s="11"/>
    </row>
    <row r="17" spans="1:12">
      <c r="A17" s="1" t="s">
        <v>13</v>
      </c>
      <c r="B17" s="2">
        <v>46236</v>
      </c>
      <c r="C17" s="3">
        <v>0.75</v>
      </c>
      <c r="D17" s="1" t="s">
        <v>14</v>
      </c>
      <c r="E17" s="1" t="s">
        <v>29</v>
      </c>
      <c r="F17" s="4">
        <v>3</v>
      </c>
      <c r="G17" s="9"/>
      <c r="H17" s="10"/>
      <c r="I17" s="10"/>
      <c r="J17" s="10"/>
      <c r="K17" s="10"/>
      <c r="L17" s="11"/>
    </row>
    <row r="18" spans="1:12">
      <c r="A18" s="1" t="s">
        <v>13</v>
      </c>
      <c r="B18" s="2">
        <v>46236</v>
      </c>
      <c r="C18" s="3">
        <v>0.75</v>
      </c>
      <c r="D18" s="1" t="s">
        <v>14</v>
      </c>
      <c r="E18" s="1" t="s">
        <v>30</v>
      </c>
      <c r="F18" s="4">
        <v>4</v>
      </c>
      <c r="G18" s="9"/>
      <c r="H18" s="10"/>
      <c r="I18" s="10"/>
      <c r="J18" s="10"/>
      <c r="K18" s="10"/>
      <c r="L18" s="11"/>
    </row>
    <row r="19" spans="1:12">
      <c r="A19" s="1" t="s">
        <v>13</v>
      </c>
      <c r="B19" s="2">
        <v>46236</v>
      </c>
      <c r="C19" s="3">
        <v>0.75</v>
      </c>
      <c r="D19" s="1" t="s">
        <v>14</v>
      </c>
      <c r="E19" s="1" t="s">
        <v>31</v>
      </c>
      <c r="F19" s="4">
        <v>3</v>
      </c>
      <c r="G19" s="9"/>
      <c r="H19" s="10"/>
      <c r="I19" s="10"/>
      <c r="J19" s="10"/>
      <c r="K19" s="10"/>
      <c r="L19" s="11"/>
    </row>
    <row r="20" spans="1:12">
      <c r="A20" s="1" t="s">
        <v>13</v>
      </c>
      <c r="B20" s="2">
        <v>46236</v>
      </c>
      <c r="C20" s="3">
        <v>0.75</v>
      </c>
      <c r="D20" s="1" t="s">
        <v>14</v>
      </c>
      <c r="E20" s="1" t="s">
        <v>32</v>
      </c>
      <c r="F20" s="4">
        <v>109</v>
      </c>
      <c r="G20" s="9"/>
      <c r="H20" s="10"/>
      <c r="I20" s="10"/>
      <c r="J20" s="10"/>
      <c r="K20" s="10"/>
      <c r="L20" s="11"/>
    </row>
    <row r="21" spans="1:12">
      <c r="A21" s="1" t="s">
        <v>13</v>
      </c>
      <c r="B21" s="2">
        <v>46236</v>
      </c>
      <c r="C21" s="3">
        <v>0.75</v>
      </c>
      <c r="D21" s="1" t="s">
        <v>14</v>
      </c>
      <c r="E21" s="1" t="s">
        <v>33</v>
      </c>
      <c r="F21" s="4">
        <v>17</v>
      </c>
      <c r="G21" s="12"/>
      <c r="H21" s="13"/>
      <c r="I21" s="13"/>
      <c r="J21" s="13"/>
      <c r="K21" s="13"/>
      <c r="L21" s="14"/>
    </row>
    <row r="23" spans="1:12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4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</row>
    <row r="24" spans="1:12">
      <c r="A24" s="1" t="s">
        <v>13</v>
      </c>
      <c r="B24" s="2">
        <v>46243</v>
      </c>
      <c r="C24" s="3">
        <v>0.75</v>
      </c>
      <c r="D24" s="1" t="s">
        <v>34</v>
      </c>
      <c r="E24" s="1" t="s">
        <v>15</v>
      </c>
      <c r="F24" s="4">
        <v>5</v>
      </c>
      <c r="G24" s="5">
        <f>(F25)</f>
        <v>3</v>
      </c>
      <c r="H24" s="5">
        <f>SUM(F35,F39)</f>
        <v>31</v>
      </c>
      <c r="I24" s="5">
        <f>(F37)</f>
        <v>17</v>
      </c>
      <c r="J24" s="5">
        <f>SUM(F24,F26,F27,F28,F29,F31,F32,F33,F34,F36,F40)</f>
        <v>43</v>
      </c>
      <c r="K24" s="5">
        <v>169</v>
      </c>
      <c r="L24" s="5">
        <f>SUM(G24:K24)</f>
        <v>263</v>
      </c>
    </row>
    <row r="25" spans="1:12">
      <c r="A25" s="1" t="s">
        <v>13</v>
      </c>
      <c r="B25" s="2">
        <v>46243</v>
      </c>
      <c r="C25" s="3">
        <v>0.75</v>
      </c>
      <c r="D25" s="1" t="s">
        <v>34</v>
      </c>
      <c r="E25" s="1" t="s">
        <v>16</v>
      </c>
      <c r="F25" s="4">
        <v>3</v>
      </c>
      <c r="G25" s="6"/>
      <c r="H25" s="7"/>
      <c r="I25" s="7"/>
      <c r="J25" s="7"/>
      <c r="K25" s="7"/>
      <c r="L25" s="8"/>
    </row>
    <row r="26" spans="1:12">
      <c r="A26" s="1" t="s">
        <v>13</v>
      </c>
      <c r="B26" s="2">
        <v>46243</v>
      </c>
      <c r="C26" s="3">
        <v>0.75</v>
      </c>
      <c r="D26" s="1" t="s">
        <v>34</v>
      </c>
      <c r="E26" s="1" t="s">
        <v>17</v>
      </c>
      <c r="F26" s="4">
        <v>3</v>
      </c>
      <c r="G26" s="9"/>
      <c r="H26" s="10"/>
      <c r="I26" s="10"/>
      <c r="J26" s="10"/>
      <c r="K26" s="10"/>
      <c r="L26" s="11"/>
    </row>
    <row r="27" spans="1:12">
      <c r="A27" s="1" t="s">
        <v>13</v>
      </c>
      <c r="B27" s="2">
        <v>46243</v>
      </c>
      <c r="C27" s="3">
        <v>0.75</v>
      </c>
      <c r="D27" s="1" t="s">
        <v>34</v>
      </c>
      <c r="E27" s="1" t="s">
        <v>18</v>
      </c>
      <c r="F27" s="4">
        <v>2</v>
      </c>
      <c r="G27" s="9"/>
      <c r="H27" s="10"/>
      <c r="I27" s="10"/>
      <c r="J27" s="10"/>
      <c r="K27" s="10"/>
      <c r="L27" s="11"/>
    </row>
    <row r="28" spans="1:12">
      <c r="A28" s="1" t="s">
        <v>13</v>
      </c>
      <c r="B28" s="2">
        <v>46243</v>
      </c>
      <c r="C28" s="3">
        <v>0.75</v>
      </c>
      <c r="D28" s="1" t="s">
        <v>34</v>
      </c>
      <c r="E28" s="1" t="s">
        <v>19</v>
      </c>
      <c r="F28" s="4">
        <v>3</v>
      </c>
      <c r="G28" s="9"/>
      <c r="H28" s="10"/>
      <c r="I28" s="10"/>
      <c r="J28" s="10"/>
      <c r="K28" s="10"/>
      <c r="L28" s="11"/>
    </row>
    <row r="29" spans="1:12">
      <c r="A29" s="1" t="s">
        <v>13</v>
      </c>
      <c r="B29" s="2">
        <v>46243</v>
      </c>
      <c r="C29" s="3">
        <v>0.75</v>
      </c>
      <c r="D29" s="1" t="s">
        <v>34</v>
      </c>
      <c r="E29" s="1" t="s">
        <v>20</v>
      </c>
      <c r="F29" s="4">
        <v>3</v>
      </c>
      <c r="G29" s="9"/>
      <c r="H29" s="10"/>
      <c r="I29" s="10"/>
      <c r="J29" s="10"/>
      <c r="K29" s="10"/>
      <c r="L29" s="11"/>
    </row>
    <row r="30" spans="1:12">
      <c r="A30" s="1" t="s">
        <v>13</v>
      </c>
      <c r="B30" s="2">
        <v>46243</v>
      </c>
      <c r="C30" s="3">
        <v>0.75</v>
      </c>
      <c r="D30" s="1" t="s">
        <v>34</v>
      </c>
      <c r="E30" s="1" t="s">
        <v>21</v>
      </c>
      <c r="F30" s="4">
        <v>12</v>
      </c>
      <c r="G30" s="9"/>
      <c r="H30" s="10"/>
      <c r="I30" s="10"/>
      <c r="J30" s="10"/>
      <c r="K30" s="10"/>
      <c r="L30" s="11"/>
    </row>
    <row r="31" spans="1:12">
      <c r="A31" s="1" t="s">
        <v>13</v>
      </c>
      <c r="B31" s="2">
        <v>46243</v>
      </c>
      <c r="C31" s="3">
        <v>0.75</v>
      </c>
      <c r="D31" s="1" t="s">
        <v>34</v>
      </c>
      <c r="E31" s="1" t="s">
        <v>22</v>
      </c>
      <c r="F31" s="4">
        <v>7</v>
      </c>
      <c r="G31" s="9"/>
      <c r="H31" s="10"/>
      <c r="I31" s="10"/>
      <c r="J31" s="10"/>
      <c r="K31" s="10"/>
      <c r="L31" s="11"/>
    </row>
    <row r="32" spans="1:12">
      <c r="A32" s="1" t="s">
        <v>13</v>
      </c>
      <c r="B32" s="2">
        <v>46243</v>
      </c>
      <c r="C32" s="3">
        <v>0.75</v>
      </c>
      <c r="D32" s="1" t="s">
        <v>34</v>
      </c>
      <c r="E32" s="1" t="s">
        <v>23</v>
      </c>
      <c r="F32" s="4">
        <v>5</v>
      </c>
      <c r="G32" s="9"/>
      <c r="H32" s="10"/>
      <c r="I32" s="10"/>
      <c r="J32" s="10"/>
      <c r="K32" s="10"/>
      <c r="L32" s="11"/>
    </row>
    <row r="33" spans="1:12">
      <c r="A33" s="1" t="s">
        <v>13</v>
      </c>
      <c r="B33" s="2">
        <v>46243</v>
      </c>
      <c r="C33" s="3">
        <v>0.75</v>
      </c>
      <c r="D33" s="1" t="s">
        <v>34</v>
      </c>
      <c r="E33" s="1" t="s">
        <v>24</v>
      </c>
      <c r="F33" s="4">
        <v>1</v>
      </c>
      <c r="G33" s="9"/>
      <c r="H33" s="10"/>
      <c r="I33" s="10"/>
      <c r="J33" s="10"/>
      <c r="K33" s="10"/>
      <c r="L33" s="11"/>
    </row>
    <row r="34" spans="1:12">
      <c r="A34" s="1" t="s">
        <v>13</v>
      </c>
      <c r="B34" s="2">
        <v>46243</v>
      </c>
      <c r="C34" s="3">
        <v>0.75</v>
      </c>
      <c r="D34" s="1" t="s">
        <v>34</v>
      </c>
      <c r="E34" s="1" t="s">
        <v>25</v>
      </c>
      <c r="F34" s="4">
        <v>9</v>
      </c>
      <c r="G34" s="9"/>
      <c r="H34" s="10"/>
      <c r="I34" s="10"/>
      <c r="J34" s="10"/>
      <c r="K34" s="10"/>
      <c r="L34" s="11"/>
    </row>
    <row r="35" spans="1:12">
      <c r="A35" s="1" t="s">
        <v>13</v>
      </c>
      <c r="B35" s="2">
        <v>46243</v>
      </c>
      <c r="C35" s="3">
        <v>0.75</v>
      </c>
      <c r="D35" s="1" t="s">
        <v>34</v>
      </c>
      <c r="E35" s="1" t="s">
        <v>26</v>
      </c>
      <c r="F35" s="4">
        <v>30</v>
      </c>
      <c r="G35" s="9"/>
      <c r="H35" s="10"/>
      <c r="I35" s="10"/>
      <c r="J35" s="10"/>
      <c r="K35" s="10"/>
      <c r="L35" s="11"/>
    </row>
    <row r="36" spans="1:12">
      <c r="A36" s="1" t="s">
        <v>13</v>
      </c>
      <c r="B36" s="2">
        <v>46243</v>
      </c>
      <c r="C36" s="3">
        <v>0.75</v>
      </c>
      <c r="D36" s="1" t="s">
        <v>34</v>
      </c>
      <c r="E36" s="1" t="s">
        <v>27</v>
      </c>
      <c r="F36" s="4">
        <v>2</v>
      </c>
      <c r="G36" s="9"/>
      <c r="H36" s="10"/>
      <c r="I36" s="10"/>
      <c r="J36" s="10"/>
      <c r="K36" s="10"/>
      <c r="L36" s="11"/>
    </row>
    <row r="37" spans="1:12">
      <c r="A37" s="1" t="s">
        <v>13</v>
      </c>
      <c r="B37" s="2">
        <v>46243</v>
      </c>
      <c r="C37" s="3">
        <v>0.75</v>
      </c>
      <c r="D37" s="1" t="s">
        <v>34</v>
      </c>
      <c r="E37" s="1" t="s">
        <v>28</v>
      </c>
      <c r="F37" s="4">
        <v>17</v>
      </c>
      <c r="G37" s="9"/>
      <c r="H37" s="10"/>
      <c r="I37" s="10"/>
      <c r="J37" s="10"/>
      <c r="K37" s="10"/>
      <c r="L37" s="11"/>
    </row>
    <row r="38" spans="1:12">
      <c r="A38" s="1" t="s">
        <v>13</v>
      </c>
      <c r="B38" s="2">
        <v>46243</v>
      </c>
      <c r="C38" s="3">
        <v>0.75</v>
      </c>
      <c r="D38" s="1" t="s">
        <v>34</v>
      </c>
      <c r="E38" s="1" t="s">
        <v>29</v>
      </c>
      <c r="F38" s="4">
        <v>1</v>
      </c>
      <c r="G38" s="9"/>
      <c r="H38" s="10"/>
      <c r="I38" s="10"/>
      <c r="J38" s="10"/>
      <c r="K38" s="10"/>
      <c r="L38" s="11"/>
    </row>
    <row r="39" spans="1:12">
      <c r="A39" s="1" t="s">
        <v>13</v>
      </c>
      <c r="B39" s="2">
        <v>46243</v>
      </c>
      <c r="C39" s="3">
        <v>0.75</v>
      </c>
      <c r="D39" s="1" t="s">
        <v>34</v>
      </c>
      <c r="E39" s="1" t="s">
        <v>30</v>
      </c>
      <c r="F39" s="4">
        <v>1</v>
      </c>
      <c r="G39" s="9"/>
      <c r="H39" s="10"/>
      <c r="I39" s="10"/>
      <c r="J39" s="10"/>
      <c r="K39" s="10"/>
      <c r="L39" s="11"/>
    </row>
    <row r="40" spans="1:12">
      <c r="A40" s="1" t="s">
        <v>13</v>
      </c>
      <c r="B40" s="2">
        <v>46243</v>
      </c>
      <c r="C40" s="3">
        <v>0.75</v>
      </c>
      <c r="D40" s="1" t="s">
        <v>34</v>
      </c>
      <c r="E40" s="1" t="s">
        <v>31</v>
      </c>
      <c r="F40" s="4">
        <v>3</v>
      </c>
      <c r="G40" s="9"/>
      <c r="H40" s="10"/>
      <c r="I40" s="10"/>
      <c r="J40" s="10"/>
      <c r="K40" s="10"/>
      <c r="L40" s="11"/>
    </row>
    <row r="41" spans="1:12">
      <c r="A41" s="1" t="s">
        <v>13</v>
      </c>
      <c r="B41" s="2">
        <v>46243</v>
      </c>
      <c r="C41" s="3">
        <v>0.75</v>
      </c>
      <c r="D41" s="1" t="s">
        <v>34</v>
      </c>
      <c r="E41" s="1" t="s">
        <v>32</v>
      </c>
      <c r="F41" s="4">
        <v>75</v>
      </c>
      <c r="G41" s="9"/>
      <c r="H41" s="10"/>
      <c r="I41" s="10"/>
      <c r="J41" s="10"/>
      <c r="K41" s="10"/>
      <c r="L41" s="11"/>
    </row>
    <row r="42" spans="1:12">
      <c r="A42" s="1" t="s">
        <v>13</v>
      </c>
      <c r="B42" s="2">
        <v>46243</v>
      </c>
      <c r="C42" s="3">
        <v>0.75</v>
      </c>
      <c r="D42" s="1" t="s">
        <v>34</v>
      </c>
      <c r="E42" s="1" t="s">
        <v>33</v>
      </c>
      <c r="F42" s="4">
        <v>6</v>
      </c>
      <c r="G42" s="12"/>
      <c r="H42" s="13"/>
      <c r="I42" s="13"/>
      <c r="J42" s="13"/>
      <c r="K42" s="13"/>
      <c r="L42" s="14"/>
    </row>
    <row r="44" spans="1:12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4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</row>
    <row r="45" spans="1:12">
      <c r="A45" s="1" t="s">
        <v>13</v>
      </c>
      <c r="B45" s="2">
        <v>46250</v>
      </c>
      <c r="C45" s="3">
        <v>0.75</v>
      </c>
      <c r="D45" s="1" t="s">
        <v>35</v>
      </c>
      <c r="E45" s="1" t="s">
        <v>15</v>
      </c>
      <c r="F45" s="4">
        <v>7</v>
      </c>
      <c r="G45" s="5">
        <f>(F46)</f>
        <v>6</v>
      </c>
      <c r="H45" s="5">
        <f>SUM(F56,F60)</f>
        <v>33</v>
      </c>
      <c r="I45" s="5">
        <f>(F58)</f>
        <v>11</v>
      </c>
      <c r="J45" s="5">
        <f>SUM(F45,F47,F48,F49,F50,F52,F53,F54,F55,F57,F61)</f>
        <v>53</v>
      </c>
      <c r="K45" s="5">
        <v>206</v>
      </c>
      <c r="L45" s="5">
        <f>SUM(G45:K45)</f>
        <v>309</v>
      </c>
    </row>
    <row r="46" spans="1:12">
      <c r="A46" s="1" t="s">
        <v>13</v>
      </c>
      <c r="B46" s="2">
        <v>46250</v>
      </c>
      <c r="C46" s="3">
        <v>0.75</v>
      </c>
      <c r="D46" s="1" t="s">
        <v>35</v>
      </c>
      <c r="E46" s="1" t="s">
        <v>16</v>
      </c>
      <c r="F46" s="4">
        <v>6</v>
      </c>
      <c r="G46" s="6"/>
      <c r="H46" s="7"/>
      <c r="I46" s="7"/>
      <c r="J46" s="7"/>
      <c r="K46" s="7"/>
      <c r="L46" s="8"/>
    </row>
    <row r="47" spans="1:12">
      <c r="A47" s="1" t="s">
        <v>13</v>
      </c>
      <c r="B47" s="2">
        <v>46250</v>
      </c>
      <c r="C47" s="3">
        <v>0.75</v>
      </c>
      <c r="D47" s="1" t="s">
        <v>35</v>
      </c>
      <c r="E47" s="1" t="s">
        <v>17</v>
      </c>
      <c r="F47" s="4">
        <v>3</v>
      </c>
      <c r="G47" s="9"/>
      <c r="H47" s="10"/>
      <c r="I47" s="10"/>
      <c r="J47" s="10"/>
      <c r="K47" s="10"/>
      <c r="L47" s="11"/>
    </row>
    <row r="48" spans="1:12">
      <c r="A48" s="1" t="s">
        <v>13</v>
      </c>
      <c r="B48" s="2">
        <v>46250</v>
      </c>
      <c r="C48" s="3">
        <v>0.75</v>
      </c>
      <c r="D48" s="1" t="s">
        <v>35</v>
      </c>
      <c r="E48" s="1" t="s">
        <v>18</v>
      </c>
      <c r="F48" s="4">
        <v>3</v>
      </c>
      <c r="G48" s="9"/>
      <c r="H48" s="10"/>
      <c r="I48" s="10"/>
      <c r="J48" s="10"/>
      <c r="K48" s="10"/>
      <c r="L48" s="11"/>
    </row>
    <row r="49" spans="1:12">
      <c r="A49" s="1" t="s">
        <v>13</v>
      </c>
      <c r="B49" s="2">
        <v>46250</v>
      </c>
      <c r="C49" s="3">
        <v>0.75</v>
      </c>
      <c r="D49" s="1" t="s">
        <v>35</v>
      </c>
      <c r="E49" s="1" t="s">
        <v>19</v>
      </c>
      <c r="F49" s="4">
        <v>3</v>
      </c>
      <c r="G49" s="9"/>
      <c r="H49" s="10"/>
      <c r="I49" s="10"/>
      <c r="J49" s="10"/>
      <c r="K49" s="10"/>
      <c r="L49" s="11"/>
    </row>
    <row r="50" spans="1:12">
      <c r="A50" s="1" t="s">
        <v>13</v>
      </c>
      <c r="B50" s="2">
        <v>46250</v>
      </c>
      <c r="C50" s="3">
        <v>0.75</v>
      </c>
      <c r="D50" s="1" t="s">
        <v>35</v>
      </c>
      <c r="E50" s="1" t="s">
        <v>20</v>
      </c>
      <c r="F50" s="4">
        <v>4</v>
      </c>
      <c r="G50" s="9"/>
      <c r="H50" s="10"/>
      <c r="I50" s="10"/>
      <c r="J50" s="10"/>
      <c r="K50" s="10"/>
      <c r="L50" s="11"/>
    </row>
    <row r="51" spans="1:12">
      <c r="A51" s="1" t="s">
        <v>13</v>
      </c>
      <c r="B51" s="2">
        <v>46250</v>
      </c>
      <c r="C51" s="3">
        <v>0.75</v>
      </c>
      <c r="D51" s="1" t="s">
        <v>35</v>
      </c>
      <c r="E51" s="1" t="s">
        <v>21</v>
      </c>
      <c r="F51" s="4">
        <v>0</v>
      </c>
      <c r="G51" s="9"/>
      <c r="H51" s="10"/>
      <c r="I51" s="10"/>
      <c r="J51" s="10"/>
      <c r="K51" s="10"/>
      <c r="L51" s="11"/>
    </row>
    <row r="52" spans="1:12">
      <c r="A52" s="1" t="s">
        <v>13</v>
      </c>
      <c r="B52" s="2">
        <v>46250</v>
      </c>
      <c r="C52" s="3">
        <v>0.75</v>
      </c>
      <c r="D52" s="1" t="s">
        <v>35</v>
      </c>
      <c r="E52" s="1" t="s">
        <v>22</v>
      </c>
      <c r="F52" s="4">
        <v>9</v>
      </c>
      <c r="G52" s="9"/>
      <c r="H52" s="10"/>
      <c r="I52" s="10"/>
      <c r="J52" s="10"/>
      <c r="K52" s="10"/>
      <c r="L52" s="11"/>
    </row>
    <row r="53" spans="1:12">
      <c r="A53" s="1" t="s">
        <v>13</v>
      </c>
      <c r="B53" s="2">
        <v>46250</v>
      </c>
      <c r="C53" s="3">
        <v>0.75</v>
      </c>
      <c r="D53" s="1" t="s">
        <v>35</v>
      </c>
      <c r="E53" s="1" t="s">
        <v>23</v>
      </c>
      <c r="F53" s="4">
        <v>4</v>
      </c>
      <c r="G53" s="9"/>
      <c r="H53" s="10"/>
      <c r="I53" s="10"/>
      <c r="J53" s="10"/>
      <c r="K53" s="10"/>
      <c r="L53" s="11"/>
    </row>
    <row r="54" spans="1:12">
      <c r="A54" s="1" t="s">
        <v>13</v>
      </c>
      <c r="B54" s="2">
        <v>46250</v>
      </c>
      <c r="C54" s="3">
        <v>0.75</v>
      </c>
      <c r="D54" s="1" t="s">
        <v>35</v>
      </c>
      <c r="E54" s="1" t="s">
        <v>24</v>
      </c>
      <c r="F54" s="4">
        <v>3</v>
      </c>
      <c r="G54" s="9"/>
      <c r="H54" s="10"/>
      <c r="I54" s="10"/>
      <c r="J54" s="10"/>
      <c r="K54" s="10"/>
      <c r="L54" s="11"/>
    </row>
    <row r="55" spans="1:12">
      <c r="A55" s="1" t="s">
        <v>13</v>
      </c>
      <c r="B55" s="2">
        <v>46250</v>
      </c>
      <c r="C55" s="3">
        <v>0.75</v>
      </c>
      <c r="D55" s="1" t="s">
        <v>35</v>
      </c>
      <c r="E55" s="1" t="s">
        <v>25</v>
      </c>
      <c r="F55" s="4">
        <v>10</v>
      </c>
      <c r="G55" s="9"/>
      <c r="H55" s="10"/>
      <c r="I55" s="10"/>
      <c r="J55" s="10"/>
      <c r="K55" s="10"/>
      <c r="L55" s="11"/>
    </row>
    <row r="56" spans="1:12">
      <c r="A56" s="1" t="s">
        <v>13</v>
      </c>
      <c r="B56" s="2">
        <v>46250</v>
      </c>
      <c r="C56" s="3">
        <v>0.75</v>
      </c>
      <c r="D56" s="1" t="s">
        <v>35</v>
      </c>
      <c r="E56" s="1" t="s">
        <v>26</v>
      </c>
      <c r="F56" s="4">
        <v>33</v>
      </c>
      <c r="G56" s="9"/>
      <c r="H56" s="10"/>
      <c r="I56" s="10"/>
      <c r="J56" s="10"/>
      <c r="K56" s="10"/>
      <c r="L56" s="11"/>
    </row>
    <row r="57" spans="1:12">
      <c r="A57" s="1" t="s">
        <v>13</v>
      </c>
      <c r="B57" s="2">
        <v>46250</v>
      </c>
      <c r="C57" s="3">
        <v>0.75</v>
      </c>
      <c r="D57" s="1" t="s">
        <v>35</v>
      </c>
      <c r="E57" s="1" t="s">
        <v>27</v>
      </c>
      <c r="F57" s="4">
        <v>4</v>
      </c>
      <c r="G57" s="9"/>
      <c r="H57" s="10"/>
      <c r="I57" s="10"/>
      <c r="J57" s="10"/>
      <c r="K57" s="10"/>
      <c r="L57" s="11"/>
    </row>
    <row r="58" spans="1:12">
      <c r="A58" s="1" t="s">
        <v>13</v>
      </c>
      <c r="B58" s="2">
        <v>46250</v>
      </c>
      <c r="C58" s="3">
        <v>0.75</v>
      </c>
      <c r="D58" s="1" t="s">
        <v>35</v>
      </c>
      <c r="E58" s="1" t="s">
        <v>28</v>
      </c>
      <c r="F58" s="4">
        <v>11</v>
      </c>
      <c r="G58" s="9"/>
      <c r="H58" s="10"/>
      <c r="I58" s="10"/>
      <c r="J58" s="10"/>
      <c r="K58" s="10"/>
      <c r="L58" s="11"/>
    </row>
    <row r="59" spans="1:12">
      <c r="A59" s="1" t="s">
        <v>13</v>
      </c>
      <c r="B59" s="2">
        <v>46250</v>
      </c>
      <c r="C59" s="3">
        <v>0.75</v>
      </c>
      <c r="D59" s="1" t="s">
        <v>35</v>
      </c>
      <c r="E59" s="1" t="s">
        <v>29</v>
      </c>
      <c r="F59" s="4">
        <v>0</v>
      </c>
      <c r="G59" s="9"/>
      <c r="H59" s="10"/>
      <c r="I59" s="10"/>
      <c r="J59" s="10"/>
      <c r="K59" s="10"/>
      <c r="L59" s="11"/>
    </row>
    <row r="60" spans="1:12">
      <c r="A60" s="1" t="s">
        <v>13</v>
      </c>
      <c r="B60" s="2">
        <v>46250</v>
      </c>
      <c r="C60" s="3">
        <v>0.75</v>
      </c>
      <c r="D60" s="1" t="s">
        <v>35</v>
      </c>
      <c r="E60" s="1" t="s">
        <v>30</v>
      </c>
      <c r="F60" s="4">
        <v>0</v>
      </c>
      <c r="G60" s="9"/>
      <c r="H60" s="10"/>
      <c r="I60" s="10"/>
      <c r="J60" s="10"/>
      <c r="K60" s="10"/>
      <c r="L60" s="11"/>
    </row>
    <row r="61" spans="1:12">
      <c r="A61" s="1" t="s">
        <v>13</v>
      </c>
      <c r="B61" s="2">
        <v>46250</v>
      </c>
      <c r="C61" s="3">
        <v>0.75</v>
      </c>
      <c r="D61" s="1" t="s">
        <v>35</v>
      </c>
      <c r="E61" s="1" t="s">
        <v>31</v>
      </c>
      <c r="F61" s="4">
        <v>3</v>
      </c>
      <c r="G61" s="9"/>
      <c r="H61" s="10"/>
      <c r="I61" s="10"/>
      <c r="J61" s="10"/>
      <c r="K61" s="10"/>
      <c r="L61" s="11"/>
    </row>
    <row r="62" spans="1:12">
      <c r="A62" s="1" t="s">
        <v>13</v>
      </c>
      <c r="B62" s="2">
        <v>46250</v>
      </c>
      <c r="C62" s="3">
        <v>0.75</v>
      </c>
      <c r="D62" s="1" t="s">
        <v>35</v>
      </c>
      <c r="E62" s="1" t="s">
        <v>32</v>
      </c>
      <c r="F62" s="4">
        <v>98</v>
      </c>
      <c r="G62" s="9"/>
      <c r="H62" s="10"/>
      <c r="I62" s="10"/>
      <c r="J62" s="10"/>
      <c r="K62" s="10"/>
      <c r="L62" s="11"/>
    </row>
    <row r="63" spans="1:12">
      <c r="A63" s="1" t="s">
        <v>13</v>
      </c>
      <c r="B63" s="2">
        <v>46250</v>
      </c>
      <c r="C63" s="3">
        <v>0.75</v>
      </c>
      <c r="D63" s="1" t="s">
        <v>35</v>
      </c>
      <c r="E63" s="1" t="s">
        <v>33</v>
      </c>
      <c r="F63" s="4">
        <v>7</v>
      </c>
      <c r="G63" s="12"/>
      <c r="H63" s="13"/>
      <c r="I63" s="13"/>
      <c r="J63" s="13"/>
      <c r="K63" s="13"/>
      <c r="L63" s="14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2026-08-19T20:12:36Z</dcterms:created>
  <dcterms:modified xsi:type="dcterms:W3CDTF">2026-08-21T13:51:03Z</dcterms:modified>
  <cp:category/>
  <cp:contentStatus/>
</cp:coreProperties>
</file>